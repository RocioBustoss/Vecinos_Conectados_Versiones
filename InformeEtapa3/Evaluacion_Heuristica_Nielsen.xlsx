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duoccl0-my.sharepoint.com/personal/ric_pino_profesor_duoc_cl/Documents/2026/2026-1/Docencia/Ingenieria de software/seccion3/EvP3/"/>
    </mc:Choice>
  </mc:AlternateContent>
  <xr:revisionPtr revIDLastSave="63" documentId="11_AB555EE7D426576D80603E2059A63BBD0BF89055" xr6:coauthVersionLast="47" xr6:coauthVersionMax="47" xr10:uidLastSave="{1485D9BC-CC50-9346-A32F-FC19681F770A}"/>
  <bookViews>
    <workbookView xWindow="0" yWindow="600" windowWidth="28800" windowHeight="17400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G22" i="3" s="1"/>
  <c r="E21" i="3"/>
  <c r="D21" i="3"/>
  <c r="C21" i="3"/>
  <c r="G21" i="3" s="1"/>
  <c r="E20" i="3"/>
  <c r="D20" i="3"/>
  <c r="C20" i="3"/>
  <c r="G20" i="3" s="1"/>
  <c r="E19" i="3"/>
  <c r="D19" i="3"/>
  <c r="C19" i="3"/>
  <c r="F19" i="3" s="1"/>
  <c r="E18" i="3"/>
  <c r="D18" i="3"/>
  <c r="C18" i="3"/>
  <c r="G18" i="3" s="1"/>
  <c r="G17" i="3"/>
  <c r="F17" i="3"/>
  <c r="E17" i="3"/>
  <c r="D17" i="3"/>
  <c r="C17" i="3"/>
  <c r="F16" i="3"/>
  <c r="E16" i="3"/>
  <c r="D16" i="3"/>
  <c r="C16" i="3"/>
  <c r="G16" i="3" s="1"/>
  <c r="E15" i="3"/>
  <c r="D15" i="3"/>
  <c r="C15" i="3"/>
  <c r="G15" i="3" s="1"/>
  <c r="G14" i="3"/>
  <c r="E14" i="3"/>
  <c r="D14" i="3"/>
  <c r="C14" i="3"/>
  <c r="F14" i="3" s="1"/>
  <c r="E13" i="3"/>
  <c r="D13" i="3"/>
  <c r="C13" i="3"/>
  <c r="G13" i="3" s="1"/>
  <c r="C9" i="3"/>
  <c r="C8" i="3"/>
  <c r="C7" i="3"/>
  <c r="C6" i="3"/>
  <c r="C5" i="3"/>
  <c r="F21" i="3" l="1"/>
  <c r="F13" i="3"/>
  <c r="F18" i="3"/>
  <c r="F20" i="3"/>
  <c r="F15" i="3"/>
  <c r="G19" i="3"/>
  <c r="F22" i="3"/>
</calcChain>
</file>

<file path=xl/sharedStrings.xml><?xml version="1.0" encoding="utf-8"?>
<sst xmlns="http://schemas.openxmlformats.org/spreadsheetml/2006/main" count="113" uniqueCount="110">
  <si>
    <t>EVALUACION HEURISTICA DE USABILIDAD - NIELSEN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</si>
  <si>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</si>
  <si>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</si>
  <si>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</si>
  <si>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</si>
  <si>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</si>
  <si>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</si>
  <si>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</si>
  <si>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</si>
  <si>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</si>
  <si>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</si>
  <si>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</si>
  <si>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</si>
  <si>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2</t>
  </si>
  <si>
    <t>3</t>
  </si>
  <si>
    <t>4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</si>
  <si>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</si>
  <si>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</si>
  <si>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</si>
  <si>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</si>
  <si>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</si>
  <si>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</si>
  <si>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</si>
  <si>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</si>
  <si>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</si>
  <si>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</si>
  <si>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</si>
  <si>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</si>
  <si>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</si>
  <si>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</si>
  <si>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</si>
  <si>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</si>
  <si>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</si>
  <si>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</si>
  <si>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</si>
  <si>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</si>
  <si>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</si>
  <si>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</si>
  <si>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</si>
  <si>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</si>
  <si>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</si>
  <si>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</si>
  <si>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</si>
  <si>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</si>
  <si>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</si>
  <si>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</si>
  <si>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</si>
  <si>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</si>
  <si>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</si>
  <si>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</si>
  <si>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</si>
  <si>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</si>
  <si>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</si>
  <si>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</si>
  <si>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</si>
  <si>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</si>
  <si>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</si>
  <si>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</si>
  <si>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</si>
  <si>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</si>
  <si>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</si>
  <si>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</si>
  <si>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</si>
  <si>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</si>
  <si>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</si>
  <si>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</si>
  <si>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</si>
  <si>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</si>
  <si>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</si>
  <si>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</si>
  <si>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</si>
  <si>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</si>
  <si>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</si>
  <si>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</si>
  <si>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</si>
  <si>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</si>
  <si>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</si>
  <si>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</si>
  <si>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</si>
  <si>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</si>
  <si>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</si>
  <si>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</si>
  <si>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</si>
  <si>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</si>
  <si>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</si>
  <si>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</si>
  <si>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</si>
  <si>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</si>
  <si>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</si>
  <si>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</si>
  <si>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</si>
  <si>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</si>
  <si>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</si>
  <si>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</si>
  <si>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</si>
  <si>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</si>
  <si>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</si>
  <si>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</si>
  <si>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</si>
  <si>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</si>
  <si>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</si>
  <si>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</si>
  <si>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</si>
  <si>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</si>
  <si>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Ingenieria de Software - Calidad y Pruebas - Plantilla de Evaluacion</t>
  </si>
  <si>
    <t>Problema cosmético | corregir solo si hay tiempo</t>
  </si>
  <si>
    <t>Problema menor | baja prioridad de correccion</t>
  </si>
  <si>
    <t>Problema mayor  | alta prioridad, dificulta el uso</t>
  </si>
  <si>
    <t>CATASTROFICO | imperativo corregir antes del lanzamiento</t>
  </si>
  <si>
    <t>RESUMEN EJECUTIVO  EVALUACION HEURISTICA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</si>
</sst>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/>
    <xf numFmtId="0" fontId="8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11" fillId="5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6" fillId="0" borderId="2" xfId="0" applyFont="1" applyBorder="1"/>
    <xf numFmtId="0" fontId="8" fillId="5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</cellXfs>
  <cellStyles count="1"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tabSelected="1" zoomScale="140" zoomScaleNormal="140" workbookViewId="0">
      <selection activeCell="B8" sqref="B8:E8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40" customHeight="1" x14ac:dyDescent="0.2">
      <c r="B2" s="33" t="s">
        <v>0</v>
      </c>
      <c r="C2" s="14"/>
      <c r="D2" s="14"/>
      <c r="E2" s="14"/>
    </row>
    <row r="3" spans="2:5" ht="22" customHeight="1" x14ac:dyDescent="0.2">
      <c r="B3" s="34" t="s">
        <v>104</v>
      </c>
      <c r="C3" s="14"/>
      <c r="D3" s="14"/>
      <c r="E3" s="14"/>
    </row>
    <row r="5" spans="2:5" ht="18" customHeight="1" x14ac:dyDescent="0.2">
      <c r="B5" s="35" t="s">
        <v>1</v>
      </c>
      <c r="C5" s="36"/>
      <c r="D5" s="36"/>
      <c r="E5" s="36"/>
    </row>
    <row r="6" spans="2:5" ht="18" customHeight="1" x14ac:dyDescent="0.2">
      <c r="B6" s="9" t="s">
        <v>2</v>
      </c>
      <c r="C6" s="10"/>
      <c r="D6" s="10"/>
      <c r="E6" s="10"/>
    </row>
    <row r="7" spans="2:5" ht="18" customHeight="1" x14ac:dyDescent="0.2">
      <c r="B7" s="9" t="s">
        <v>3</v>
      </c>
      <c r="C7" s="10"/>
      <c r="D7" s="10"/>
      <c r="E7" s="10"/>
    </row>
    <row r="8" spans="2:5" ht="18" customHeight="1" x14ac:dyDescent="0.2">
      <c r="B8" s="9" t="s">
        <v>4</v>
      </c>
      <c r="C8" s="10"/>
      <c r="D8" s="10"/>
      <c r="E8" s="10"/>
    </row>
    <row r="9" spans="2:5" ht="18" customHeight="1" x14ac:dyDescent="0.2">
      <c r="B9" s="9" t="s">
        <v>5</v>
      </c>
      <c r="C9" s="10"/>
      <c r="D9" s="10"/>
      <c r="E9" s="10"/>
    </row>
    <row r="10" spans="2:5" ht="18" customHeight="1" x14ac:dyDescent="0.2">
      <c r="B10" s="9" t="s">
        <v>6</v>
      </c>
      <c r="C10" s="10"/>
      <c r="D10" s="10"/>
      <c r="E10" s="10"/>
    </row>
    <row r="11" spans="2:5" ht="18" customHeight="1" x14ac:dyDescent="0.2">
      <c r="B11" s="9" t="s">
        <v>7</v>
      </c>
      <c r="C11" s="10"/>
      <c r="D11" s="10"/>
      <c r="E11" s="10"/>
    </row>
    <row r="12" spans="2:5" ht="18" customHeight="1" x14ac:dyDescent="0.2">
      <c r="B12" s="9" t="s">
        <v>8</v>
      </c>
      <c r="C12" s="10"/>
      <c r="D12" s="10"/>
      <c r="E12" s="10"/>
    </row>
    <row r="15" spans="2:5" ht="18" customHeight="1" x14ac:dyDescent="0.2">
      <c r="B15" s="11" t="s">
        <v>9</v>
      </c>
      <c r="C15" s="10"/>
      <c r="D15" s="10"/>
      <c r="E15" s="10"/>
    </row>
    <row r="16" spans="2:5" ht="18" customHeight="1" x14ac:dyDescent="0.2">
      <c r="B16" s="12" t="s">
        <v>10</v>
      </c>
      <c r="C16" s="9" t="s">
        <v>11</v>
      </c>
      <c r="D16" s="10"/>
      <c r="E16" s="10"/>
    </row>
    <row r="17" spans="2:5" ht="18" customHeight="1" x14ac:dyDescent="0.2">
      <c r="B17" s="12" t="s">
        <v>12</v>
      </c>
      <c r="C17" s="9" t="s">
        <v>105</v>
      </c>
      <c r="D17" s="10"/>
      <c r="E17" s="10"/>
    </row>
    <row r="18" spans="2:5" ht="18" customHeight="1" x14ac:dyDescent="0.2">
      <c r="B18" s="12" t="s">
        <v>13</v>
      </c>
      <c r="C18" s="9" t="s">
        <v>106</v>
      </c>
      <c r="D18" s="10"/>
      <c r="E18" s="10"/>
    </row>
    <row r="19" spans="2:5" ht="18" customHeight="1" x14ac:dyDescent="0.2">
      <c r="B19" s="12" t="s">
        <v>14</v>
      </c>
      <c r="C19" s="9" t="s">
        <v>107</v>
      </c>
      <c r="D19" s="10"/>
      <c r="E19" s="10"/>
    </row>
    <row r="20" spans="2:5" ht="18" customHeight="1" x14ac:dyDescent="0.2">
      <c r="B20" s="12" t="s">
        <v>15</v>
      </c>
      <c r="C20" s="9" t="s">
        <v>108</v>
      </c>
      <c r="D20" s="10"/>
      <c r="E20" s="10"/>
    </row>
  </sheetData>
  <mergeCells count="16"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  <mergeCell ref="C20:E20"/>
    <mergeCell ref="B9:E9"/>
    <mergeCell ref="B15:E15"/>
    <mergeCell ref="C16:E1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workbookViewId="0">
      <pane ySplit="3" topLeftCell="A4" activePane="bottomLeft" state="frozen"/>
      <selection pane="bottomLeft" activeCell="E34" sqref="E34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32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8" ht="32" customHeight="1" x14ac:dyDescent="0.2">
      <c r="A1" s="13" t="s">
        <v>16</v>
      </c>
      <c r="B1" s="14"/>
      <c r="C1" s="14"/>
      <c r="D1" s="14"/>
      <c r="E1" s="14"/>
      <c r="F1" s="14"/>
      <c r="G1" s="14"/>
      <c r="H1" s="14"/>
    </row>
    <row r="2" spans="1:8" ht="16" customHeight="1" x14ac:dyDescent="0.2">
      <c r="A2" s="15" t="s">
        <v>17</v>
      </c>
      <c r="B2" s="14"/>
      <c r="C2" s="14"/>
      <c r="D2" s="14"/>
      <c r="E2" s="14"/>
      <c r="F2" s="14"/>
      <c r="G2" s="14"/>
      <c r="H2" s="14"/>
    </row>
    <row r="3" spans="1:8" ht="32" customHeight="1" x14ac:dyDescent="0.2">
      <c r="A3" s="16" t="s">
        <v>18</v>
      </c>
      <c r="B3" s="16" t="s">
        <v>19</v>
      </c>
      <c r="C3" s="16" t="s">
        <v>20</v>
      </c>
      <c r="D3" s="16" t="s">
        <v>21</v>
      </c>
      <c r="E3" s="16" t="s">
        <v>22</v>
      </c>
      <c r="F3" s="16" t="s">
        <v>23</v>
      </c>
      <c r="G3" s="16" t="s">
        <v>24</v>
      </c>
      <c r="H3" s="16" t="s">
        <v>25</v>
      </c>
    </row>
    <row r="4" spans="1:8" ht="42" customHeight="1" x14ac:dyDescent="0.2">
      <c r="A4" s="2">
        <v>1</v>
      </c>
      <c r="B4" s="3"/>
      <c r="C4" s="3"/>
      <c r="D4" s="3"/>
      <c r="E4" s="4"/>
      <c r="F4" s="3"/>
      <c r="G4" s="3"/>
      <c r="H4" s="3"/>
    </row>
    <row r="5" spans="1:8" ht="42" customHeight="1" x14ac:dyDescent="0.2">
      <c r="A5" s="5">
        <v>2</v>
      </c>
      <c r="B5" s="1"/>
      <c r="C5" s="1"/>
      <c r="D5" s="1"/>
      <c r="E5" s="6"/>
      <c r="F5" s="1"/>
      <c r="G5" s="1"/>
      <c r="H5" s="1"/>
    </row>
    <row r="6" spans="1:8" ht="42" customHeight="1" x14ac:dyDescent="0.2">
      <c r="A6" s="2">
        <v>3</v>
      </c>
      <c r="B6" s="3"/>
      <c r="C6" s="3"/>
      <c r="D6" s="3"/>
      <c r="E6" s="4"/>
      <c r="F6" s="3"/>
      <c r="G6" s="3"/>
      <c r="H6" s="3"/>
    </row>
    <row r="7" spans="1:8" ht="42" customHeight="1" x14ac:dyDescent="0.2">
      <c r="A7" s="5">
        <v>4</v>
      </c>
      <c r="B7" s="1"/>
      <c r="C7" s="1"/>
      <c r="D7" s="1"/>
      <c r="E7" s="6"/>
      <c r="F7" s="1"/>
      <c r="G7" s="1"/>
      <c r="H7" s="1"/>
    </row>
    <row r="8" spans="1:8" ht="42" customHeight="1" x14ac:dyDescent="0.2">
      <c r="A8" s="2">
        <v>5</v>
      </c>
      <c r="B8" s="3"/>
      <c r="C8" s="3"/>
      <c r="D8" s="3"/>
      <c r="E8" s="4"/>
      <c r="F8" s="3"/>
      <c r="G8" s="3"/>
      <c r="H8" s="3"/>
    </row>
    <row r="9" spans="1:8" ht="42" customHeight="1" x14ac:dyDescent="0.2">
      <c r="A9" s="5">
        <v>6</v>
      </c>
      <c r="B9" s="1"/>
      <c r="C9" s="1"/>
      <c r="D9" s="1"/>
      <c r="E9" s="6"/>
      <c r="F9" s="1"/>
      <c r="G9" s="1"/>
      <c r="H9" s="1"/>
    </row>
    <row r="10" spans="1:8" ht="42" customHeight="1" x14ac:dyDescent="0.2">
      <c r="A10" s="2">
        <v>7</v>
      </c>
      <c r="B10" s="3"/>
      <c r="C10" s="3"/>
      <c r="D10" s="3"/>
      <c r="E10" s="4"/>
      <c r="F10" s="3"/>
      <c r="G10" s="3"/>
      <c r="H10" s="3"/>
    </row>
    <row r="11" spans="1:8" ht="42" customHeight="1" x14ac:dyDescent="0.2">
      <c r="A11" s="5">
        <v>8</v>
      </c>
      <c r="B11" s="1"/>
      <c r="C11" s="1"/>
      <c r="D11" s="1"/>
      <c r="E11" s="6"/>
      <c r="F11" s="1"/>
      <c r="G11" s="1"/>
      <c r="H11" s="1"/>
    </row>
    <row r="12" spans="1:8" ht="42" customHeight="1" x14ac:dyDescent="0.2">
      <c r="A12" s="2">
        <v>9</v>
      </c>
      <c r="B12" s="3"/>
      <c r="C12" s="3"/>
      <c r="D12" s="3"/>
      <c r="E12" s="4"/>
      <c r="F12" s="3"/>
      <c r="G12" s="3"/>
      <c r="H12" s="3"/>
    </row>
    <row r="13" spans="1:8" ht="42" customHeight="1" x14ac:dyDescent="0.2">
      <c r="A13" s="5">
        <v>10</v>
      </c>
      <c r="B13" s="1"/>
      <c r="C13" s="1"/>
      <c r="D13" s="1"/>
      <c r="E13" s="6"/>
      <c r="F13" s="1"/>
      <c r="G13" s="1"/>
      <c r="H13" s="1"/>
    </row>
    <row r="14" spans="1:8" ht="42" customHeight="1" x14ac:dyDescent="0.2">
      <c r="A14" s="2">
        <v>11</v>
      </c>
      <c r="B14" s="3"/>
      <c r="C14" s="3"/>
      <c r="D14" s="3"/>
      <c r="E14" s="4"/>
      <c r="F14" s="3"/>
      <c r="G14" s="3"/>
      <c r="H14" s="3"/>
    </row>
    <row r="15" spans="1:8" ht="42" customHeight="1" x14ac:dyDescent="0.2">
      <c r="A15" s="5">
        <v>12</v>
      </c>
      <c r="B15" s="1"/>
      <c r="C15" s="1"/>
      <c r="D15" s="1"/>
      <c r="E15" s="6"/>
      <c r="F15" s="1"/>
      <c r="G15" s="1"/>
      <c r="H15" s="1"/>
    </row>
    <row r="16" spans="1:8" ht="42" customHeight="1" x14ac:dyDescent="0.2">
      <c r="A16" s="2">
        <v>13</v>
      </c>
      <c r="B16" s="3"/>
      <c r="C16" s="3"/>
      <c r="D16" s="3"/>
      <c r="E16" s="4"/>
      <c r="F16" s="3"/>
      <c r="G16" s="3"/>
      <c r="H16" s="3"/>
    </row>
    <row r="17" spans="1:8" ht="42" customHeight="1" x14ac:dyDescent="0.2">
      <c r="A17" s="5">
        <v>14</v>
      </c>
      <c r="B17" s="1"/>
      <c r="C17" s="1"/>
      <c r="D17" s="1"/>
      <c r="E17" s="6"/>
      <c r="F17" s="1"/>
      <c r="G17" s="1"/>
      <c r="H17" s="1"/>
    </row>
    <row r="18" spans="1:8" ht="42" customHeight="1" x14ac:dyDescent="0.2">
      <c r="A18" s="2">
        <v>15</v>
      </c>
      <c r="B18" s="3"/>
      <c r="C18" s="3"/>
      <c r="D18" s="3"/>
      <c r="E18" s="4"/>
      <c r="F18" s="3"/>
      <c r="G18" s="3"/>
      <c r="H18" s="3"/>
    </row>
    <row r="19" spans="1:8" ht="42" customHeight="1" x14ac:dyDescent="0.2">
      <c r="A19" s="5">
        <v>16</v>
      </c>
      <c r="B19" s="1"/>
      <c r="C19" s="1"/>
      <c r="D19" s="1"/>
      <c r="E19" s="6"/>
      <c r="F19" s="1"/>
      <c r="G19" s="1"/>
      <c r="H19" s="1"/>
    </row>
    <row r="20" spans="1:8" ht="42" customHeight="1" x14ac:dyDescent="0.2">
      <c r="A20" s="2">
        <v>17</v>
      </c>
      <c r="B20" s="3"/>
      <c r="C20" s="3"/>
      <c r="D20" s="3"/>
      <c r="E20" s="4"/>
      <c r="F20" s="3"/>
      <c r="G20" s="3"/>
      <c r="H20" s="3"/>
    </row>
    <row r="21" spans="1:8" ht="42" customHeight="1" x14ac:dyDescent="0.2">
      <c r="A21" s="5">
        <v>18</v>
      </c>
      <c r="B21" s="1"/>
      <c r="C21" s="1"/>
      <c r="D21" s="1"/>
      <c r="E21" s="6"/>
      <c r="F21" s="1"/>
      <c r="G21" s="1"/>
      <c r="H21" s="1"/>
    </row>
    <row r="22" spans="1:8" ht="42" customHeight="1" x14ac:dyDescent="0.2">
      <c r="A22" s="2">
        <v>19</v>
      </c>
      <c r="B22" s="3"/>
      <c r="C22" s="3"/>
      <c r="D22" s="3"/>
      <c r="E22" s="4"/>
      <c r="F22" s="3"/>
      <c r="G22" s="3"/>
      <c r="H22" s="3"/>
    </row>
    <row r="23" spans="1:8" ht="42" customHeight="1" x14ac:dyDescent="0.2">
      <c r="A23" s="5">
        <v>20</v>
      </c>
      <c r="B23" s="1"/>
      <c r="C23" s="1"/>
      <c r="D23" s="1"/>
      <c r="E23" s="6"/>
      <c r="F23" s="1"/>
      <c r="G23" s="1"/>
      <c r="H23" s="1"/>
    </row>
    <row r="24" spans="1:8" ht="42" customHeight="1" x14ac:dyDescent="0.2">
      <c r="A24" s="2">
        <v>21</v>
      </c>
      <c r="B24" s="3"/>
      <c r="C24" s="3"/>
      <c r="D24" s="3"/>
      <c r="E24" s="4"/>
      <c r="F24" s="3"/>
      <c r="G24" s="3"/>
      <c r="H24" s="3"/>
    </row>
    <row r="25" spans="1:8" ht="42" customHeight="1" x14ac:dyDescent="0.2">
      <c r="A25" s="5">
        <v>22</v>
      </c>
      <c r="B25" s="1"/>
      <c r="C25" s="1"/>
      <c r="D25" s="1"/>
      <c r="E25" s="6"/>
      <c r="F25" s="1"/>
      <c r="G25" s="1"/>
      <c r="H25" s="1"/>
    </row>
    <row r="26" spans="1:8" ht="42" customHeight="1" x14ac:dyDescent="0.2">
      <c r="A26" s="2">
        <v>23</v>
      </c>
      <c r="B26" s="3"/>
      <c r="C26" s="3"/>
      <c r="D26" s="3"/>
      <c r="E26" s="4"/>
      <c r="F26" s="3"/>
      <c r="G26" s="3"/>
      <c r="H26" s="3"/>
    </row>
    <row r="27" spans="1:8" ht="42" customHeight="1" x14ac:dyDescent="0.2">
      <c r="A27" s="5">
        <v>24</v>
      </c>
      <c r="B27" s="1"/>
      <c r="C27" s="1"/>
      <c r="D27" s="1"/>
      <c r="E27" s="6"/>
      <c r="F27" s="1"/>
      <c r="G27" s="1"/>
      <c r="H27" s="1"/>
    </row>
    <row r="28" spans="1:8" ht="42" customHeight="1" x14ac:dyDescent="0.2">
      <c r="A28" s="2">
        <v>25</v>
      </c>
      <c r="B28" s="3"/>
      <c r="C28" s="3"/>
      <c r="D28" s="3"/>
      <c r="E28" s="4"/>
      <c r="F28" s="3"/>
      <c r="G28" s="3"/>
      <c r="H28" s="3"/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2">
    <dataValidation type="list" allowBlank="1" showErrorMessage="1" errorTitle="Valor invalido" error="Seleccione una heuristica de la lista." sqref="B4 B5 B6 B7 B8 B9 B10 B11 B12 B13 B14 B15 B16 B17 B18 B19 B20 B21 B22 B23 B24 B25 B26 B27 B28" xr:uid="{00000000-0002-0000-0100-000000000000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whole" allowBlank="1" showInputMessage="1" showErrorMessage="1" errorTitle="Severidad invalida" error="Ingrese un numero entre 0 y 4." promptTitle="Escala de severidad" prompt="0=No problema  1=Cosmético  2=Menor  3=Mayor  4=Catastrófico" sqref="E4 E5 E6 E7 E8 E9 E10 E11 E12 E13 E14 E15 E16 E17 E18 E19 E20 E21 E22 E23 E24 E25 E26 E27 E28" xr:uid="{00000000-0002-0000-0100-000001000000}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A23" sqref="A23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5" width="14" customWidth="1"/>
    <col min="6" max="6" width="18" customWidth="1"/>
    <col min="7" max="7" width="20" customWidth="1"/>
  </cols>
  <sheetData>
    <row r="1" spans="2:7" ht="32" customHeight="1" x14ac:dyDescent="0.2">
      <c r="B1" s="13" t="s">
        <v>109</v>
      </c>
      <c r="C1" s="14"/>
      <c r="D1" s="14"/>
      <c r="E1" s="14"/>
      <c r="F1" s="14"/>
      <c r="G1" s="14"/>
    </row>
    <row r="2" spans="2:7" ht="16" customHeight="1" x14ac:dyDescent="0.2">
      <c r="B2" s="15" t="s">
        <v>26</v>
      </c>
      <c r="C2" s="14"/>
      <c r="D2" s="14"/>
      <c r="E2" s="14"/>
      <c r="F2" s="14"/>
      <c r="G2" s="14"/>
    </row>
    <row r="4" spans="2:7" ht="18" customHeight="1" x14ac:dyDescent="0.2">
      <c r="B4" s="8" t="s">
        <v>27</v>
      </c>
      <c r="C4" s="7"/>
      <c r="D4" s="7"/>
      <c r="E4" s="7"/>
      <c r="F4" s="7"/>
      <c r="G4" s="7"/>
    </row>
    <row r="5" spans="2:7" ht="22" customHeight="1" x14ac:dyDescent="0.2">
      <c r="B5" s="17" t="s">
        <v>28</v>
      </c>
      <c r="C5" s="28">
        <f>COUNTA(Evaluacion!C4:C28)</f>
        <v>0</v>
      </c>
      <c r="D5" s="18"/>
    </row>
    <row r="6" spans="2:7" ht="22" customHeight="1" x14ac:dyDescent="0.2">
      <c r="B6" s="17" t="s">
        <v>29</v>
      </c>
      <c r="C6" s="29">
        <f>IFERROR(AVERAGE(Evaluacion!E4:E28),0)</f>
        <v>0</v>
      </c>
      <c r="D6" s="18"/>
    </row>
    <row r="7" spans="2:7" ht="22" customHeight="1" x14ac:dyDescent="0.2">
      <c r="B7" s="17" t="s">
        <v>30</v>
      </c>
      <c r="C7" s="28">
        <f>COUNTIF(Evaluacion!E4:E28,4)</f>
        <v>0</v>
      </c>
      <c r="D7" s="18"/>
    </row>
    <row r="8" spans="2:7" ht="22" customHeight="1" x14ac:dyDescent="0.2">
      <c r="B8" s="17" t="s">
        <v>31</v>
      </c>
      <c r="C8" s="28">
        <f>COUNTIF(Evaluacion!E4:E28,3)</f>
        <v>0</v>
      </c>
      <c r="D8" s="18"/>
    </row>
    <row r="9" spans="2:7" ht="22" customHeight="1" x14ac:dyDescent="0.2">
      <c r="B9" s="17" t="s">
        <v>32</v>
      </c>
      <c r="C9" s="28">
        <f>COUNTIFS(Evaluacion!E4:E28,"&gt;=1",Evaluacion!E4:E28,"&lt;=2")</f>
        <v>0</v>
      </c>
      <c r="D9" s="18"/>
    </row>
    <row r="11" spans="2:7" ht="18" customHeight="1" x14ac:dyDescent="0.2">
      <c r="B11" s="19" t="s">
        <v>33</v>
      </c>
      <c r="C11" s="14"/>
      <c r="D11" s="14"/>
      <c r="E11" s="14"/>
      <c r="F11" s="14"/>
      <c r="G11" s="14"/>
    </row>
    <row r="12" spans="2:7" ht="20" customHeight="1" x14ac:dyDescent="0.2">
      <c r="B12" s="16" t="s">
        <v>19</v>
      </c>
      <c r="C12" s="16" t="s">
        <v>34</v>
      </c>
      <c r="D12" s="16" t="s">
        <v>35</v>
      </c>
      <c r="E12" s="16" t="s">
        <v>36</v>
      </c>
      <c r="F12" s="16" t="s">
        <v>37</v>
      </c>
      <c r="G12" s="16" t="s">
        <v>38</v>
      </c>
    </row>
    <row r="13" spans="2:7" ht="20" customHeight="1" x14ac:dyDescent="0.2">
      <c r="B13" s="20" t="s">
        <v>39</v>
      </c>
      <c r="C13" s="26">
        <f>COUNTIF(Evaluacion!B4:B28,"*H1*")</f>
        <v>0</v>
      </c>
      <c r="D13" s="26">
        <f ca="1">IFERROR(_xludf.MAXIFS(Evaluacion!E4:E28,Evaluacion!B4:B28,"*H1*"),0)</f>
        <v>0</v>
      </c>
      <c r="E13" s="21">
        <f>IFERROR(AVERAGEIF(Evaluacion!B4:B28,"*H1*",Evaluacion!E4:E28),0)</f>
        <v>0</v>
      </c>
      <c r="F13" s="22" t="str">
        <f t="shared" ref="F13:F22" si="0">IF(C13=0,"Sin problemas",IF(D13&gt;=4,"CRITICO",IF(D13&gt;=3,"MAYOR","MENOR")))</f>
        <v>Sin problemas</v>
      </c>
      <c r="G13" s="22" t="str">
        <f t="shared" ref="G13:G22" si="1">IF(C13=0,"Sin problemas",IF(D13=4,"1 - Inmediata",IF(D13=3,"2 - Alta",IF(D13=2,"3 - Media","4 - Baja"))))</f>
        <v>Sin problemas</v>
      </c>
    </row>
    <row r="14" spans="2:7" ht="20" customHeight="1" x14ac:dyDescent="0.2">
      <c r="B14" s="23" t="s">
        <v>40</v>
      </c>
      <c r="C14" s="27">
        <f>COUNTIF(Evaluacion!B4:B28,"*H2*")</f>
        <v>0</v>
      </c>
      <c r="D14" s="27">
        <f ca="1">IFERROR(_xludf.MAXIFS(Evaluacion!E4:E28,Evaluacion!B4:B28,"*H2*"),0)</f>
        <v>0</v>
      </c>
      <c r="E14" s="24">
        <f>IFERROR(AVERAGEIF(Evaluacion!B4:B28,"*H2*",Evaluacion!E4:E28),0)</f>
        <v>0</v>
      </c>
      <c r="F14" s="25" t="str">
        <f t="shared" si="0"/>
        <v>Sin problemas</v>
      </c>
      <c r="G14" s="25" t="str">
        <f t="shared" si="1"/>
        <v>Sin problemas</v>
      </c>
    </row>
    <row r="15" spans="2:7" ht="20" customHeight="1" x14ac:dyDescent="0.2">
      <c r="B15" s="20" t="s">
        <v>41</v>
      </c>
      <c r="C15" s="26">
        <f>COUNTIF(Evaluacion!B4:B28,"*H3*")</f>
        <v>0</v>
      </c>
      <c r="D15" s="26">
        <f ca="1">IFERROR(_xludf.MAXIFS(Evaluacion!E4:E28,Evaluacion!B4:B28,"*H3*"),0)</f>
        <v>0</v>
      </c>
      <c r="E15" s="21">
        <f>IFERROR(AVERAGEIF(Evaluacion!B4:B28,"*H3*",Evaluacion!E4:E28),0)</f>
        <v>0</v>
      </c>
      <c r="F15" s="22" t="str">
        <f t="shared" si="0"/>
        <v>Sin problemas</v>
      </c>
      <c r="G15" s="22" t="str">
        <f t="shared" si="1"/>
        <v>Sin problemas</v>
      </c>
    </row>
    <row r="16" spans="2:7" ht="20" customHeight="1" x14ac:dyDescent="0.2">
      <c r="B16" s="23" t="s">
        <v>42</v>
      </c>
      <c r="C16" s="27">
        <f>COUNTIF(Evaluacion!B4:B28,"*H4*")</f>
        <v>0</v>
      </c>
      <c r="D16" s="27">
        <f ca="1">IFERROR(_xludf.MAXIFS(Evaluacion!E4:E28,Evaluacion!B4:B28,"*H4*"),0)</f>
        <v>0</v>
      </c>
      <c r="E16" s="24">
        <f>IFERROR(AVERAGEIF(Evaluacion!B4:B28,"*H4*",Evaluacion!E4:E28),0)</f>
        <v>0</v>
      </c>
      <c r="F16" s="25" t="str">
        <f t="shared" si="0"/>
        <v>Sin problemas</v>
      </c>
      <c r="G16" s="25" t="str">
        <f t="shared" si="1"/>
        <v>Sin problemas</v>
      </c>
    </row>
    <row r="17" spans="2:7" ht="20" customHeight="1" x14ac:dyDescent="0.2">
      <c r="B17" s="20" t="s">
        <v>43</v>
      </c>
      <c r="C17" s="26">
        <f>COUNTIF(Evaluacion!B4:B28,"*H5*")</f>
        <v>0</v>
      </c>
      <c r="D17" s="26">
        <f ca="1">IFERROR(_xludf.MAXIFS(Evaluacion!E4:E28,Evaluacion!B4:B28,"*H5*"),0)</f>
        <v>0</v>
      </c>
      <c r="E17" s="21">
        <f>IFERROR(AVERAGEIF(Evaluacion!B4:B28,"*H5*",Evaluacion!E4:E28),0)</f>
        <v>0</v>
      </c>
      <c r="F17" s="22" t="str">
        <f t="shared" si="0"/>
        <v>Sin problemas</v>
      </c>
      <c r="G17" s="22" t="str">
        <f t="shared" si="1"/>
        <v>Sin problemas</v>
      </c>
    </row>
    <row r="18" spans="2:7" ht="20" customHeight="1" x14ac:dyDescent="0.2">
      <c r="B18" s="23" t="s">
        <v>44</v>
      </c>
      <c r="C18" s="27">
        <f>COUNTIF(Evaluacion!B4:B28,"*H6*")</f>
        <v>0</v>
      </c>
      <c r="D18" s="27">
        <f ca="1">IFERROR(_xludf.MAXIFS(Evaluacion!E4:E28,Evaluacion!B4:B28,"*H6*"),0)</f>
        <v>0</v>
      </c>
      <c r="E18" s="24">
        <f>IFERROR(AVERAGEIF(Evaluacion!B4:B28,"*H6*",Evaluacion!E4:E28),0)</f>
        <v>0</v>
      </c>
      <c r="F18" s="25" t="str">
        <f t="shared" si="0"/>
        <v>Sin problemas</v>
      </c>
      <c r="G18" s="25" t="str">
        <f t="shared" si="1"/>
        <v>Sin problemas</v>
      </c>
    </row>
    <row r="19" spans="2:7" ht="20" customHeight="1" x14ac:dyDescent="0.2">
      <c r="B19" s="20" t="s">
        <v>45</v>
      </c>
      <c r="C19" s="26">
        <f>COUNTIF(Evaluacion!B4:B28,"*H7*")</f>
        <v>0</v>
      </c>
      <c r="D19" s="26">
        <f ca="1">IFERROR(_xludf.MAXIFS(Evaluacion!E4:E28,Evaluacion!B4:B28,"*H7*"),0)</f>
        <v>0</v>
      </c>
      <c r="E19" s="21">
        <f>IFERROR(AVERAGEIF(Evaluacion!B4:B28,"*H7*",Evaluacion!E4:E28),0)</f>
        <v>0</v>
      </c>
      <c r="F19" s="22" t="str">
        <f t="shared" si="0"/>
        <v>Sin problemas</v>
      </c>
      <c r="G19" s="22" t="str">
        <f t="shared" si="1"/>
        <v>Sin problemas</v>
      </c>
    </row>
    <row r="20" spans="2:7" ht="20" customHeight="1" x14ac:dyDescent="0.2">
      <c r="B20" s="23" t="s">
        <v>46</v>
      </c>
      <c r="C20" s="27">
        <f>COUNTIF(Evaluacion!B4:B28,"*H8*")</f>
        <v>0</v>
      </c>
      <c r="D20" s="27">
        <f ca="1">IFERROR(_xludf.MAXIFS(Evaluacion!E4:E28,Evaluacion!B4:B28,"*H8*"),0)</f>
        <v>0</v>
      </c>
      <c r="E20" s="24">
        <f>IFERROR(AVERAGEIF(Evaluacion!B4:B28,"*H8*",Evaluacion!E4:E28),0)</f>
        <v>0</v>
      </c>
      <c r="F20" s="25" t="str">
        <f t="shared" si="0"/>
        <v>Sin problemas</v>
      </c>
      <c r="G20" s="25" t="str">
        <f t="shared" si="1"/>
        <v>Sin problemas</v>
      </c>
    </row>
    <row r="21" spans="2:7" ht="20" customHeight="1" x14ac:dyDescent="0.2">
      <c r="B21" s="20" t="s">
        <v>47</v>
      </c>
      <c r="C21" s="26">
        <f>COUNTIF(Evaluacion!B4:B28,"*H9*")</f>
        <v>0</v>
      </c>
      <c r="D21" s="26">
        <f ca="1">IFERROR(_xludf.MAXIFS(Evaluacion!E4:E28,Evaluacion!B4:B28,"*H9*"),0)</f>
        <v>0</v>
      </c>
      <c r="E21" s="21">
        <f>IFERROR(AVERAGEIF(Evaluacion!B4:B28,"*H9*",Evaluacion!E4:E28),0)</f>
        <v>0</v>
      </c>
      <c r="F21" s="22" t="str">
        <f t="shared" si="0"/>
        <v>Sin problemas</v>
      </c>
      <c r="G21" s="22" t="str">
        <f t="shared" si="1"/>
        <v>Sin problemas</v>
      </c>
    </row>
    <row r="22" spans="2:7" ht="20" customHeight="1" x14ac:dyDescent="0.2">
      <c r="B22" s="23" t="s">
        <v>48</v>
      </c>
      <c r="C22" s="27">
        <f>COUNTIF(Evaluacion!B4:B28,"*H10*")</f>
        <v>0</v>
      </c>
      <c r="D22" s="27">
        <f ca="1">IFERROR(_xludf.MAXIFS(Evaluacion!E4:E28,Evaluacion!B4:B28,"*H10*"),0)</f>
        <v>0</v>
      </c>
      <c r="E22" s="24">
        <f>IFERROR(AVERAGEIF(Evaluacion!B4:B28,"*H10*",Evaluacion!E4:E28),0)</f>
        <v>0</v>
      </c>
      <c r="F22" s="25" t="str">
        <f t="shared" si="0"/>
        <v>Sin problemas</v>
      </c>
      <c r="G22" s="25" t="str">
        <f t="shared" si="1"/>
        <v>Sin problemas</v>
      </c>
    </row>
  </sheetData>
  <mergeCells count="9">
    <mergeCell ref="C9:D9"/>
    <mergeCell ref="C8:D8"/>
    <mergeCell ref="B11:G11"/>
    <mergeCell ref="B2:G2"/>
    <mergeCell ref="C6:D6"/>
    <mergeCell ref="C7:D7"/>
    <mergeCell ref="C5:D5"/>
    <mergeCell ref="B1:G1"/>
    <mergeCell ref="B4:G4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>
      <selection activeCell="C4" sqref="C4"/>
    </sheetView>
  </sheetViews>
  <sheetFormatPr baseColWidth="10" defaultColWidth="8.83203125" defaultRowHeight="15" x14ac:dyDescent="0.2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2" customHeight="1" x14ac:dyDescent="0.2">
      <c r="B1" s="13" t="s">
        <v>49</v>
      </c>
      <c r="C1" s="14"/>
      <c r="D1" s="14"/>
      <c r="E1" s="14"/>
      <c r="F1" s="14"/>
    </row>
    <row r="2" spans="2:6" ht="16" customHeight="1" x14ac:dyDescent="0.2">
      <c r="B2" s="15" t="s">
        <v>50</v>
      </c>
      <c r="C2" s="14"/>
      <c r="D2" s="14"/>
      <c r="E2" s="14"/>
      <c r="F2" s="14"/>
    </row>
    <row r="3" spans="2:6" ht="22" customHeight="1" x14ac:dyDescent="0.2">
      <c r="B3" s="16" t="s">
        <v>18</v>
      </c>
      <c r="C3" s="16" t="s">
        <v>19</v>
      </c>
      <c r="D3" s="16" t="s">
        <v>51</v>
      </c>
      <c r="E3" s="16" t="s">
        <v>52</v>
      </c>
      <c r="F3" s="16" t="s">
        <v>53</v>
      </c>
    </row>
    <row r="4" spans="2:6" ht="58" customHeight="1" x14ac:dyDescent="0.2">
      <c r="B4" s="30" t="s">
        <v>54</v>
      </c>
      <c r="C4" s="31" t="s">
        <v>55</v>
      </c>
      <c r="D4" s="32" t="s">
        <v>56</v>
      </c>
      <c r="E4" s="32" t="s">
        <v>57</v>
      </c>
      <c r="F4" s="32" t="s">
        <v>58</v>
      </c>
    </row>
    <row r="5" spans="2:6" ht="58" customHeight="1" x14ac:dyDescent="0.2">
      <c r="B5" s="30" t="s">
        <v>59</v>
      </c>
      <c r="C5" s="31" t="s">
        <v>60</v>
      </c>
      <c r="D5" s="32" t="s">
        <v>61</v>
      </c>
      <c r="E5" s="32" t="s">
        <v>62</v>
      </c>
      <c r="F5" s="32" t="s">
        <v>63</v>
      </c>
    </row>
    <row r="6" spans="2:6" ht="58" customHeight="1" x14ac:dyDescent="0.2">
      <c r="B6" s="30" t="s">
        <v>64</v>
      </c>
      <c r="C6" s="31" t="s">
        <v>65</v>
      </c>
      <c r="D6" s="32" t="s">
        <v>66</v>
      </c>
      <c r="E6" s="32" t="s">
        <v>67</v>
      </c>
      <c r="F6" s="32" t="s">
        <v>68</v>
      </c>
    </row>
    <row r="7" spans="2:6" ht="58" customHeight="1" x14ac:dyDescent="0.2">
      <c r="B7" s="30" t="s">
        <v>69</v>
      </c>
      <c r="C7" s="31" t="s">
        <v>70</v>
      </c>
      <c r="D7" s="32" t="s">
        <v>71</v>
      </c>
      <c r="E7" s="32" t="s">
        <v>72</v>
      </c>
      <c r="F7" s="32" t="s">
        <v>73</v>
      </c>
    </row>
    <row r="8" spans="2:6" ht="58" customHeight="1" x14ac:dyDescent="0.2">
      <c r="B8" s="30" t="s">
        <v>74</v>
      </c>
      <c r="C8" s="31" t="s">
        <v>75</v>
      </c>
      <c r="D8" s="32" t="s">
        <v>76</v>
      </c>
      <c r="E8" s="32" t="s">
        <v>77</v>
      </c>
      <c r="F8" s="32" t="s">
        <v>78</v>
      </c>
    </row>
    <row r="9" spans="2:6" ht="58" customHeight="1" x14ac:dyDescent="0.2">
      <c r="B9" s="30" t="s">
        <v>79</v>
      </c>
      <c r="C9" s="31" t="s">
        <v>80</v>
      </c>
      <c r="D9" s="32" t="s">
        <v>81</v>
      </c>
      <c r="E9" s="32" t="s">
        <v>82</v>
      </c>
      <c r="F9" s="32" t="s">
        <v>83</v>
      </c>
    </row>
    <row r="10" spans="2:6" ht="58" customHeight="1" x14ac:dyDescent="0.2">
      <c r="B10" s="30" t="s">
        <v>84</v>
      </c>
      <c r="C10" s="31" t="s">
        <v>85</v>
      </c>
      <c r="D10" s="32" t="s">
        <v>86</v>
      </c>
      <c r="E10" s="32" t="s">
        <v>87</v>
      </c>
      <c r="F10" s="32" t="s">
        <v>88</v>
      </c>
    </row>
    <row r="11" spans="2:6" ht="58" customHeight="1" x14ac:dyDescent="0.2">
      <c r="B11" s="30" t="s">
        <v>89</v>
      </c>
      <c r="C11" s="31" t="s">
        <v>90</v>
      </c>
      <c r="D11" s="32" t="s">
        <v>91</v>
      </c>
      <c r="E11" s="32" t="s">
        <v>92</v>
      </c>
      <c r="F11" s="32" t="s">
        <v>93</v>
      </c>
    </row>
    <row r="12" spans="2:6" ht="58" customHeight="1" x14ac:dyDescent="0.2">
      <c r="B12" s="30" t="s">
        <v>94</v>
      </c>
      <c r="C12" s="31" t="s">
        <v>95</v>
      </c>
      <c r="D12" s="32" t="s">
        <v>96</v>
      </c>
      <c r="E12" s="32" t="s">
        <v>97</v>
      </c>
      <c r="F12" s="32" t="s">
        <v>98</v>
      </c>
    </row>
    <row r="13" spans="2:6" ht="58" customHeight="1" x14ac:dyDescent="0.2">
      <c r="B13" s="30" t="s">
        <v>99</v>
      </c>
      <c r="C13" s="31" t="s">
        <v>100</v>
      </c>
      <c r="D13" s="32" t="s">
        <v>101</v>
      </c>
      <c r="E13" s="32" t="s">
        <v>102</v>
      </c>
      <c r="F13" s="32" t="s">
        <v>103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Alfonso Pino Aranda</cp:lastModifiedBy>
  <dcterms:created xsi:type="dcterms:W3CDTF">2026-06-12T14:00:04Z</dcterms:created>
  <dcterms:modified xsi:type="dcterms:W3CDTF">2026-06-12T14:09:13Z</dcterms:modified>
</cp:coreProperties>
</file>